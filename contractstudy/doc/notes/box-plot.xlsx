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4709"/>
  <workbookPr codeName="ThisWorkbook" autoCompressPictures="0"/>
  <bookViews>
    <workbookView xWindow="0" yWindow="0" windowWidth="25600" windowHeight="16060" tabRatio="780"/>
  </bookViews>
  <sheets>
    <sheet name="BoxPlot" sheetId="3" r:id="rId1"/>
  </sheets>
  <definedNames>
    <definedName name="_xlnm.Print_Area" localSheetId="0">BoxPlot!$A$1:$C$87</definedName>
    <definedName name="_xlnm.Print_Titles" localSheetId="0">BoxPlot!$46:$46</definedName>
    <definedName name="shift">#REF!</definedName>
    <definedName name="valuevx">42.314159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7" i="3" l="1"/>
  <c r="C25" i="3"/>
  <c r="C29" i="3"/>
  <c r="C36" i="3"/>
  <c r="C30" i="3"/>
  <c r="B28" i="3"/>
  <c r="B26" i="3"/>
  <c r="C28" i="3"/>
  <c r="C37" i="3"/>
  <c r="C31" i="3"/>
  <c r="B25" i="3"/>
  <c r="B27" i="3"/>
  <c r="B29" i="3"/>
  <c r="B37" i="3"/>
  <c r="B31" i="3"/>
  <c r="B36" i="3"/>
  <c r="B30" i="3"/>
  <c r="C26" i="3"/>
  <c r="C24" i="3"/>
  <c r="B24" i="3"/>
  <c r="C44" i="3"/>
  <c r="B44" i="3"/>
  <c r="B43" i="3"/>
  <c r="C39" i="3"/>
  <c r="C41" i="3"/>
  <c r="B39" i="3"/>
  <c r="B41" i="3"/>
  <c r="C38" i="3"/>
  <c r="C40" i="3"/>
  <c r="B38" i="3"/>
  <c r="B40" i="3"/>
  <c r="C34" i="3"/>
  <c r="B34" i="3"/>
  <c r="C33" i="3"/>
  <c r="B33" i="3"/>
  <c r="C43" i="3"/>
</calcChain>
</file>

<file path=xl/sharedStrings.xml><?xml version="1.0" encoding="utf-8"?>
<sst xmlns="http://schemas.openxmlformats.org/spreadsheetml/2006/main" count="56" uniqueCount="54">
  <si>
    <t>Insert new rows above this line</t>
  </si>
  <si>
    <t>Min</t>
  </si>
  <si>
    <t>Max</t>
  </si>
  <si>
    <t>IQR</t>
  </si>
  <si>
    <t>Median</t>
  </si>
  <si>
    <t>Q2-Q1</t>
  </si>
  <si>
    <t>Q3-Q2</t>
  </si>
  <si>
    <t>Upper Whisker</t>
  </si>
  <si>
    <t>Upper Outliers</t>
  </si>
  <si>
    <t>Lower Outliers</t>
  </si>
  <si>
    <t>For the Outliers</t>
  </si>
  <si>
    <t>Data Table</t>
  </si>
  <si>
    <t>Labels</t>
  </si>
  <si>
    <t>Lower Whisker</t>
  </si>
  <si>
    <t>For the Whiskers</t>
  </si>
  <si>
    <t>For the Box (IQR and Median)</t>
  </si>
  <si>
    <r>
      <t>Q</t>
    </r>
    <r>
      <rPr>
        <vertAlign val="subscript"/>
        <sz val="10"/>
        <rFont val="Arial"/>
        <family val="2"/>
      </rPr>
      <t>1</t>
    </r>
  </si>
  <si>
    <r>
      <t>Q</t>
    </r>
    <r>
      <rPr>
        <vertAlign val="subscript"/>
        <sz val="10"/>
        <rFont val="Arial"/>
        <family val="2"/>
      </rPr>
      <t>3</t>
    </r>
  </si>
  <si>
    <r>
      <t>Q</t>
    </r>
    <r>
      <rPr>
        <vertAlign val="subscript"/>
        <sz val="10"/>
        <rFont val="Arial"/>
        <family val="2"/>
      </rPr>
      <t>3</t>
    </r>
    <r>
      <rPr>
        <sz val="10"/>
        <rFont val="Arial"/>
      </rPr>
      <t>+1.5*IQR</t>
    </r>
  </si>
  <si>
    <r>
      <t>Q</t>
    </r>
    <r>
      <rPr>
        <vertAlign val="subscript"/>
        <sz val="10"/>
        <rFont val="Arial"/>
        <family val="2"/>
      </rPr>
      <t>1-</t>
    </r>
    <r>
      <rPr>
        <sz val="10"/>
        <rFont val="Arial"/>
      </rPr>
      <t>1.5*IQR</t>
    </r>
  </si>
  <si>
    <r>
      <t>W</t>
    </r>
    <r>
      <rPr>
        <vertAlign val="subscript"/>
        <sz val="10"/>
        <rFont val="Arial"/>
        <family val="2"/>
      </rPr>
      <t>upper</t>
    </r>
    <r>
      <rPr>
        <sz val="10"/>
        <rFont val="Arial"/>
      </rPr>
      <t>-Q</t>
    </r>
    <r>
      <rPr>
        <vertAlign val="subscript"/>
        <sz val="10"/>
        <rFont val="Arial"/>
        <family val="2"/>
      </rPr>
      <t>3</t>
    </r>
  </si>
  <si>
    <r>
      <t>Q</t>
    </r>
    <r>
      <rPr>
        <vertAlign val="subscript"/>
        <sz val="10"/>
        <rFont val="Arial"/>
        <family val="2"/>
      </rPr>
      <t>1</t>
    </r>
    <r>
      <rPr>
        <sz val="10"/>
        <rFont val="Arial"/>
      </rPr>
      <t>-W</t>
    </r>
    <r>
      <rPr>
        <vertAlign val="subscript"/>
        <sz val="10"/>
        <rFont val="Arial"/>
        <family val="2"/>
      </rPr>
      <t>lower</t>
    </r>
  </si>
  <si>
    <t>Using This Worksheet</t>
  </si>
  <si>
    <t xml:space="preserve">This template shows how to create a box and </t>
  </si>
  <si>
    <t xml:space="preserve">whisker chart in Excel. The ends of the whisker </t>
  </si>
  <si>
    <t xml:space="preserve">are set at 1.5*IQR above the third quartile (Q3) </t>
  </si>
  <si>
    <t xml:space="preserve">and 1.5*IQR below the first quartile (Q1). If the </t>
  </si>
  <si>
    <t xml:space="preserve">Minimum or Maximum values are outside this </t>
  </si>
  <si>
    <t xml:space="preserve">range, then they are shown as outliers. The </t>
  </si>
  <si>
    <t xml:space="preserve">normal convention for box plots is to show all </t>
  </si>
  <si>
    <t xml:space="preserve">the outliers, but to simplify this template, only </t>
  </si>
  <si>
    <t xml:space="preserve">the Min and Max outliers are shown. The </t>
  </si>
  <si>
    <t>number of outliers for each data set are included</t>
  </si>
  <si>
    <t>in the table below the chart.</t>
  </si>
  <si>
    <r>
      <t>NOTE</t>
    </r>
    <r>
      <rPr>
        <sz val="10"/>
        <color rgb="FF000000"/>
        <rFont val="Arial"/>
        <family val="2"/>
      </rPr>
      <t xml:space="preserve">: The use of the bar charts to display the </t>
    </r>
  </si>
  <si>
    <r>
      <t xml:space="preserve">interquartile range requires that </t>
    </r>
    <r>
      <rPr>
        <b/>
        <sz val="10"/>
        <color rgb="FF000000"/>
        <rFont val="Arial"/>
        <family val="2"/>
      </rPr>
      <t xml:space="preserve">Q1 be </t>
    </r>
  </si>
  <si>
    <r>
      <t>positive</t>
    </r>
    <r>
      <rPr>
        <sz val="10"/>
        <color rgb="FF000000"/>
        <rFont val="Arial"/>
        <family val="2"/>
      </rPr>
      <t xml:space="preserve">. So, this technique is best used for </t>
    </r>
  </si>
  <si>
    <t xml:space="preserve">displaying data that is only positive. See the </t>
  </si>
  <si>
    <t xml:space="preserve">other worksheets for methods for handling data </t>
  </si>
  <si>
    <t>with negative values.</t>
  </si>
  <si>
    <r>
      <t xml:space="preserve">- </t>
    </r>
    <r>
      <rPr>
        <b/>
        <sz val="10"/>
        <color rgb="FF000000"/>
        <rFont val="Arial"/>
        <family val="2"/>
      </rPr>
      <t>Adding Columns:</t>
    </r>
    <r>
      <rPr>
        <sz val="10"/>
        <color rgb="FF000000"/>
        <rFont val="Arial"/>
        <family val="2"/>
      </rPr>
      <t xml:space="preserve"> You can easily add </t>
    </r>
  </si>
  <si>
    <t xml:space="preserve">additional data sets by copying an existing </t>
  </si>
  <si>
    <t xml:space="preserve">column and inserting it between Sample 5 and </t>
  </si>
  <si>
    <t xml:space="preserve">Sample 6. Doing so will ensure that the chart </t>
  </si>
  <si>
    <t>series expand to include the new data set.</t>
  </si>
  <si>
    <r>
      <t xml:space="preserve">- </t>
    </r>
    <r>
      <rPr>
        <b/>
        <sz val="10"/>
        <color rgb="FF000000"/>
        <rFont val="Arial"/>
        <family val="2"/>
      </rPr>
      <t>Adding Rows</t>
    </r>
    <r>
      <rPr>
        <sz val="10"/>
        <color rgb="FF000000"/>
        <rFont val="Arial"/>
        <family val="2"/>
      </rPr>
      <t xml:space="preserve">: The formulas allow you to </t>
    </r>
  </si>
  <si>
    <t xml:space="preserve">have blank values within the data sets, but if </t>
  </si>
  <si>
    <t xml:space="preserve">you need to add more rows, add rows above </t>
  </si>
  <si>
    <t xml:space="preserve">the gray line below the table so that the range </t>
  </si>
  <si>
    <t>references expand to include these new rows.</t>
  </si>
  <si>
    <t>first versions</t>
  </si>
  <si>
    <t>last versions</t>
  </si>
  <si>
    <t>first version</t>
  </si>
  <si>
    <t>last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</si>
</sst>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name val="Arial"/>
      <family val="2"/>
    </font>
    <font>
      <vertAlign val="subscript"/>
      <sz val="10"/>
      <name val="Arial"/>
      <family val="2"/>
    </font>
    <font>
      <i/>
      <sz val="10"/>
      <name val="Arial"/>
      <family val="2"/>
    </font>
    <font>
      <sz val="8"/>
      <color indexed="23"/>
      <name val="Arial"/>
      <family val="2"/>
    </font>
    <font>
      <b/>
      <sz val="10"/>
      <color theme="4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name val="Arial"/>
    </font>
    <font>
      <u/>
      <sz val="10"/>
      <color theme="11"/>
      <name val="Arial"/>
    </font>
  </fonts>
  <fills count="22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3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16" borderId="0" applyNumberFormat="0" applyBorder="0" applyAlignment="0" applyProtection="0"/>
    <xf numFmtId="0" fontId="4" fillId="17" borderId="1" applyNumberFormat="0" applyAlignment="0" applyProtection="0"/>
    <xf numFmtId="0" fontId="5" fillId="18" borderId="2" applyNumberFormat="0" applyAlignment="0" applyProtection="0"/>
    <xf numFmtId="0" fontId="6" fillId="0" borderId="0" applyNumberFormat="0" applyFill="0" applyBorder="0" applyAlignment="0" applyProtection="0"/>
    <xf numFmtId="0" fontId="7" fillId="1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11" borderId="1" applyNumberFormat="0" applyAlignment="0" applyProtection="0"/>
    <xf numFmtId="0" fontId="12" fillId="0" borderId="6" applyNumberFormat="0" applyFill="0" applyAlignment="0" applyProtection="0"/>
    <xf numFmtId="0" fontId="13" fillId="5" borderId="0" applyNumberFormat="0" applyBorder="0" applyAlignment="0" applyProtection="0"/>
    <xf numFmtId="0" fontId="14" fillId="5" borderId="7" applyNumberFormat="0" applyFont="0" applyAlignment="0" applyProtection="0"/>
    <xf numFmtId="0" fontId="15" fillId="1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27" fillId="0" borderId="0" applyNumberFormat="0" applyFill="0" applyBorder="0" applyAlignment="0" applyProtection="0"/>
  </cellStyleXfs>
  <cellXfs count="15">
    <xf numFmtId="0" fontId="0" fillId="0" borderId="0" xfId="0"/>
    <xf numFmtId="0" fontId="14" fillId="20" borderId="0" xfId="0" applyFont="1" applyFill="1" applyProtection="1"/>
    <xf numFmtId="0" fontId="14" fillId="0" borderId="0" xfId="0" applyFont="1" applyProtection="1"/>
    <xf numFmtId="0" fontId="14" fillId="0" borderId="0" xfId="0" applyFont="1" applyAlignment="1" applyProtection="1">
      <alignment horizontal="right"/>
    </xf>
    <xf numFmtId="0" fontId="21" fillId="20" borderId="0" xfId="0" applyFont="1" applyFill="1" applyAlignment="1" applyProtection="1">
      <alignment horizontal="left"/>
    </xf>
    <xf numFmtId="0" fontId="19" fillId="20" borderId="10" xfId="0" applyFont="1" applyFill="1" applyBorder="1" applyAlignment="1" applyProtection="1">
      <alignment horizontal="right"/>
    </xf>
    <xf numFmtId="0" fontId="22" fillId="20" borderId="0" xfId="0" applyFont="1" applyFill="1" applyProtection="1"/>
    <xf numFmtId="0" fontId="23" fillId="0" borderId="11" xfId="0" applyFont="1" applyBorder="1" applyProtection="1"/>
    <xf numFmtId="0" fontId="14" fillId="0" borderId="11" xfId="0" applyFont="1" applyBorder="1" applyProtection="1"/>
    <xf numFmtId="0" fontId="24" fillId="0" borderId="0" xfId="0" applyFont="1"/>
    <xf numFmtId="0" fontId="24" fillId="0" borderId="0" xfId="0" applyFont="1" applyAlignment="1">
      <alignment horizontal="left" vertical="center" readingOrder="1"/>
    </xf>
    <xf numFmtId="0" fontId="25" fillId="0" borderId="0" xfId="0" applyFont="1"/>
    <xf numFmtId="0" fontId="26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0" fillId="21" borderId="0" xfId="0" applyFont="1" applyFill="1" applyBorder="1" applyAlignment="1" applyProtection="1">
      <alignment horizontal="right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Followed Hyperlink" xfId="42" builtinId="9" hidde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747640425793101"/>
          <c:y val="0.0261147524157246"/>
          <c:w val="0.924438024735939"/>
          <c:h val="0.79210526315789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BoxPlot!$A$25</c:f>
              <c:strCache>
                <c:ptCount val="1"/>
                <c:pt idx="0">
                  <c:v>Q1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errBars>
            <c:errBarType val="minus"/>
            <c:errValType val="cust"/>
            <c:noEndCap val="0"/>
            <c:minus>
              <c:numRef>
                <c:f>BoxPlot!$B$41:$C$41</c:f>
                <c:numCache>
                  <c:formatCode>General</c:formatCode>
                  <c:ptCount val="2"/>
                  <c:pt idx="0">
                    <c:v>0.004566498275</c:v>
                  </c:pt>
                  <c:pt idx="1">
                    <c:v>0.00982989865</c:v>
                  </c:pt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cat>
            <c:strRef>
              <c:f>BoxPlot!$B$23:$C$23</c:f>
              <c:strCache>
                <c:ptCount val="2"/>
                <c:pt idx="0">
                  <c:v>first versions</c:v>
                </c:pt>
                <c:pt idx="1">
                  <c:v>last versions</c:v>
                </c:pt>
              </c:strCache>
            </c:strRef>
          </c:cat>
          <c:val>
            <c:numRef>
              <c:f>BoxPlot!$B$25:$C$25</c:f>
              <c:numCache>
                <c:formatCode>General</c:formatCode>
                <c:ptCount val="2"/>
                <c:pt idx="0">
                  <c:v>0.004566498275</c:v>
                </c:pt>
                <c:pt idx="1">
                  <c:v>0.00982989865</c:v>
                </c:pt>
              </c:numCache>
            </c:numRef>
          </c:val>
        </c:ser>
        <c:ser>
          <c:idx val="1"/>
          <c:order val="1"/>
          <c:tx>
            <c:strRef>
              <c:f>BoxPlot!$A$33</c:f>
              <c:strCache>
                <c:ptCount val="1"/>
                <c:pt idx="0">
                  <c:v>Q2-Q1</c:v>
                </c:pt>
              </c:strCache>
            </c:strRef>
          </c:tx>
          <c:spPr>
            <a:noFill/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BoxPlot!$B$23:$C$23</c:f>
              <c:strCache>
                <c:ptCount val="2"/>
                <c:pt idx="0">
                  <c:v>first versions</c:v>
                </c:pt>
                <c:pt idx="1">
                  <c:v>last versions</c:v>
                </c:pt>
              </c:strCache>
            </c:strRef>
          </c:cat>
          <c:val>
            <c:numRef>
              <c:f>BoxPlot!$B$33:$C$33</c:f>
              <c:numCache>
                <c:formatCode>General</c:formatCode>
                <c:ptCount val="2"/>
                <c:pt idx="0">
                  <c:v>0.016707976675</c:v>
                </c:pt>
                <c:pt idx="1">
                  <c:v>0.0142435047</c:v>
                </c:pt>
              </c:numCache>
            </c:numRef>
          </c:val>
        </c:ser>
        <c:ser>
          <c:idx val="2"/>
          <c:order val="2"/>
          <c:tx>
            <c:strRef>
              <c:f>BoxPlot!$A$34</c:f>
              <c:strCache>
                <c:ptCount val="1"/>
                <c:pt idx="0">
                  <c:v>Q3-Q2</c:v>
                </c:pt>
              </c:strCache>
            </c:strRef>
          </c:tx>
          <c:spPr>
            <a:noFill/>
            <a:ln w="12700">
              <a:solidFill>
                <a:srgbClr val="000000"/>
              </a:solidFill>
              <a:prstDash val="solid"/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BoxPlot!$B$40:$C$40</c:f>
                <c:numCache>
                  <c:formatCode>General</c:formatCode>
                  <c:ptCount val="2"/>
                  <c:pt idx="0">
                    <c:v>0.06511196175</c:v>
                  </c:pt>
                  <c:pt idx="1">
                    <c:v>0.0632837628</c:v>
                  </c:pt>
                </c:numCache>
              </c:numRef>
            </c:pl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cat>
            <c:strRef>
              <c:f>BoxPlot!$B$23:$C$23</c:f>
              <c:strCache>
                <c:ptCount val="2"/>
                <c:pt idx="0">
                  <c:v>first versions</c:v>
                </c:pt>
                <c:pt idx="1">
                  <c:v>last versions</c:v>
                </c:pt>
              </c:strCache>
            </c:strRef>
          </c:cat>
          <c:val>
            <c:numRef>
              <c:f>BoxPlot!$B$34:$C$34</c:f>
              <c:numCache>
                <c:formatCode>General</c:formatCode>
                <c:ptCount val="2"/>
                <c:pt idx="0">
                  <c:v>0.026699997825</c:v>
                </c:pt>
                <c:pt idx="1">
                  <c:v>0.0279456705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2125484472"/>
        <c:axId val="-2126345816"/>
      </c:barChart>
      <c:lineChart>
        <c:grouping val="standard"/>
        <c:varyColors val="0"/>
        <c:ser>
          <c:idx val="4"/>
          <c:order val="3"/>
          <c:tx>
            <c:v>Min Outlier</c:v>
          </c:tx>
          <c:spPr>
            <a:ln w="19050">
              <a:noFill/>
            </a:ln>
          </c:spPr>
          <c:marker>
            <c:symbol val="star"/>
            <c:size val="5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BoxPlot!$B$23:$C$23</c:f>
              <c:strCache>
                <c:ptCount val="2"/>
                <c:pt idx="0">
                  <c:v>first versions</c:v>
                </c:pt>
                <c:pt idx="1">
                  <c:v>last versions</c:v>
                </c:pt>
              </c:strCache>
            </c:strRef>
          </c:cat>
          <c:val>
            <c:numRef>
              <c:f>BoxPlot!$B$44:$C$44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val>
          <c:smooth val="0"/>
        </c:ser>
        <c:ser>
          <c:idx val="3"/>
          <c:order val="4"/>
          <c:tx>
            <c:v>Max Outlier</c:v>
          </c:tx>
          <c:spPr>
            <a:ln w="19050">
              <a:noFill/>
            </a:ln>
          </c:spPr>
          <c:marker>
            <c:symbol val="star"/>
            <c:size val="5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BoxPlot!$B$23:$C$23</c:f>
              <c:strCache>
                <c:ptCount val="2"/>
                <c:pt idx="0">
                  <c:v>first versions</c:v>
                </c:pt>
                <c:pt idx="1">
                  <c:v>last versions</c:v>
                </c:pt>
              </c:strCache>
            </c:strRef>
          </c:cat>
          <c:val>
            <c:numRef>
              <c:f>BoxPlot!$B$43:$C$43</c:f>
              <c:numCache>
                <c:formatCode>General</c:formatCode>
                <c:ptCount val="2"/>
                <c:pt idx="0">
                  <c:v>0.4</c:v>
                </c:pt>
                <c:pt idx="1">
                  <c:v>0.4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25484472"/>
        <c:axId val="-2126345816"/>
      </c:lineChart>
      <c:catAx>
        <c:axId val="-2125484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1263458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21263458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125484472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392283266148816"/>
          <c:y val="0.923684210526316"/>
          <c:w val="0.289389294699946"/>
          <c:h val="0.0605263157894737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.0" l="0.75" r="0.75" t="1.0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hyperlink" Target="http://www.vertex42.com/" TargetMode="External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0</xdr:row>
      <xdr:rowOff>0</xdr:rowOff>
    </xdr:from>
    <xdr:to>
      <xdr:col>7</xdr:col>
      <xdr:colOff>533400</xdr:colOff>
      <xdr:row>20</xdr:row>
      <xdr:rowOff>133350</xdr:rowOff>
    </xdr:to>
    <xdr:graphicFrame macro="">
      <xdr:nvGraphicFramePr>
        <xdr:cNvPr id="4098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470272</xdr:colOff>
      <xdr:row>2</xdr:row>
      <xdr:rowOff>26</xdr:rowOff>
    </xdr:to>
    <xdr:pic>
      <xdr:nvPicPr>
        <xdr:cNvPr id="5" name="Picture 4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57925" y="57150"/>
          <a:ext cx="1365622" cy="3048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V42 - TRUE BLUE(purple) CLASSIC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26AA2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2:H216"/>
  <sheetViews>
    <sheetView showGridLines="0" tabSelected="1" topLeftCell="B1" workbookViewId="0">
      <selection activeCell="K8" sqref="K8"/>
    </sheetView>
  </sheetViews>
  <sheetFormatPr baseColWidth="10" defaultColWidth="9.1640625" defaultRowHeight="12" x14ac:dyDescent="0"/>
  <cols>
    <col min="1" max="1" width="14.1640625" style="2" customWidth="1"/>
    <col min="2" max="3" width="12.6640625" style="2" customWidth="1"/>
    <col min="4" max="4" width="3.5" style="2" customWidth="1"/>
    <col min="5" max="5" width="13.5" style="2" customWidth="1"/>
    <col min="6" max="16384" width="9.1640625" style="2"/>
  </cols>
  <sheetData>
    <row r="2" spans="5:8">
      <c r="E2" s="7" t="s">
        <v>22</v>
      </c>
      <c r="F2" s="8"/>
      <c r="G2" s="8"/>
      <c r="H2" s="8"/>
    </row>
    <row r="3" spans="5:8">
      <c r="E3" s="9" t="s">
        <v>23</v>
      </c>
    </row>
    <row r="4" spans="5:8">
      <c r="E4" s="9" t="s">
        <v>24</v>
      </c>
    </row>
    <row r="5" spans="5:8">
      <c r="E5" s="9" t="s">
        <v>25</v>
      </c>
    </row>
    <row r="6" spans="5:8">
      <c r="E6" s="9" t="s">
        <v>26</v>
      </c>
    </row>
    <row r="7" spans="5:8">
      <c r="E7" s="9" t="s">
        <v>27</v>
      </c>
    </row>
    <row r="8" spans="5:8">
      <c r="E8" s="9" t="s">
        <v>28</v>
      </c>
    </row>
    <row r="9" spans="5:8">
      <c r="E9" s="9" t="s">
        <v>29</v>
      </c>
    </row>
    <row r="10" spans="5:8">
      <c r="E10" s="9" t="s">
        <v>30</v>
      </c>
    </row>
    <row r="11" spans="5:8">
      <c r="E11" s="9" t="s">
        <v>31</v>
      </c>
    </row>
    <row r="12" spans="5:8">
      <c r="E12" s="9" t="s">
        <v>32</v>
      </c>
    </row>
    <row r="13" spans="5:8">
      <c r="E13" s="10" t="s">
        <v>33</v>
      </c>
    </row>
    <row r="15" spans="5:8">
      <c r="E15" s="11" t="s">
        <v>34</v>
      </c>
    </row>
    <row r="16" spans="5:8">
      <c r="E16" s="9" t="s">
        <v>35</v>
      </c>
    </row>
    <row r="17" spans="1:5">
      <c r="E17" s="11" t="s">
        <v>36</v>
      </c>
    </row>
    <row r="18" spans="1:5">
      <c r="E18" s="9" t="s">
        <v>37</v>
      </c>
    </row>
    <row r="19" spans="1:5">
      <c r="E19" s="9" t="s">
        <v>38</v>
      </c>
    </row>
    <row r="20" spans="1:5">
      <c r="E20" s="10" t="s">
        <v>39</v>
      </c>
    </row>
    <row r="22" spans="1:5">
      <c r="E22" s="9" t="s">
        <v>40</v>
      </c>
    </row>
    <row r="23" spans="1:5">
      <c r="A23" s="3" t="s">
        <v>12</v>
      </c>
      <c r="B23" s="14" t="s">
        <v>50</v>
      </c>
      <c r="C23" s="14" t="s">
        <v>51</v>
      </c>
      <c r="E23" s="9" t="s">
        <v>41</v>
      </c>
    </row>
    <row r="24" spans="1:5">
      <c r="A24" s="3" t="s">
        <v>1</v>
      </c>
      <c r="B24" s="2">
        <f>MIN(B$47:B$208)</f>
        <v>0</v>
      </c>
      <c r="C24" s="2">
        <f>MIN(C$47:C$208)</f>
        <v>0</v>
      </c>
      <c r="E24" s="9" t="s">
        <v>42</v>
      </c>
    </row>
    <row r="25" spans="1:5">
      <c r="A25" s="3" t="s">
        <v>16</v>
      </c>
      <c r="B25" s="2">
        <f>PERCENTILE(B$47:B$208,0.25)</f>
        <v>4.5664982749999998E-3</v>
      </c>
      <c r="C25" s="2">
        <f>PERCENTILE(C$47:C$208,0.25)</f>
        <v>9.8298986500000001E-3</v>
      </c>
      <c r="E25" s="9" t="s">
        <v>43</v>
      </c>
    </row>
    <row r="26" spans="1:5">
      <c r="A26" s="3" t="s">
        <v>4</v>
      </c>
      <c r="B26" s="2">
        <f>MEDIAN(B$47:B$208)</f>
        <v>2.127447495E-2</v>
      </c>
      <c r="C26" s="2">
        <f>MEDIAN(C$47:C$208)</f>
        <v>2.4073403350000001E-2</v>
      </c>
      <c r="E26" s="10" t="s">
        <v>44</v>
      </c>
    </row>
    <row r="27" spans="1:5">
      <c r="A27" s="3" t="s">
        <v>17</v>
      </c>
      <c r="B27" s="2">
        <f>PERCENTILE(B$47:B$208,0.75)</f>
        <v>4.7974472774999999E-2</v>
      </c>
      <c r="C27" s="2">
        <f>PERCENTILE(C$47:C$208,0.75)</f>
        <v>5.201907385E-2</v>
      </c>
    </row>
    <row r="28" spans="1:5">
      <c r="A28" s="3" t="s">
        <v>2</v>
      </c>
      <c r="B28" s="2">
        <f>MAX(B$47:B$208)</f>
        <v>0.4</v>
      </c>
      <c r="C28" s="2">
        <f>MAX(C$47:C$208)</f>
        <v>0.4</v>
      </c>
      <c r="E28" s="9" t="s">
        <v>45</v>
      </c>
    </row>
    <row r="29" spans="1:5">
      <c r="A29" s="3" t="s">
        <v>3</v>
      </c>
      <c r="B29" s="2">
        <f t="shared" ref="B29:C29" si="0">B27-B25</f>
        <v>4.3407974500000002E-2</v>
      </c>
      <c r="C29" s="2">
        <f t="shared" si="0"/>
        <v>4.2189175199999998E-2</v>
      </c>
      <c r="E29" s="9" t="s">
        <v>46</v>
      </c>
    </row>
    <row r="30" spans="1:5">
      <c r="A30" s="3" t="s">
        <v>8</v>
      </c>
      <c r="B30" s="2">
        <f>COUNTIF(B$47:B$208,"&gt;"&amp;B36)</f>
        <v>16</v>
      </c>
      <c r="C30" s="2">
        <f>COUNTIF(C$47:C$208,"&gt;"&amp;C36)</f>
        <v>12</v>
      </c>
      <c r="E30" s="9" t="s">
        <v>47</v>
      </c>
    </row>
    <row r="31" spans="1:5">
      <c r="A31" s="3" t="s">
        <v>9</v>
      </c>
      <c r="B31" s="2">
        <f>COUNTIF(B$47:B$208,"&lt;"&amp;B37)</f>
        <v>0</v>
      </c>
      <c r="C31" s="2">
        <f>COUNTIF(C$47:C$208,"&lt;"&amp;C37)</f>
        <v>0</v>
      </c>
      <c r="E31" s="9" t="s">
        <v>48</v>
      </c>
    </row>
    <row r="32" spans="1:5" hidden="1">
      <c r="A32" s="4" t="s">
        <v>15</v>
      </c>
      <c r="B32" s="1"/>
      <c r="C32" s="1"/>
    </row>
    <row r="33" spans="1:5" hidden="1">
      <c r="A33" s="3" t="s">
        <v>5</v>
      </c>
      <c r="B33" s="2">
        <f t="shared" ref="B33:C34" si="1">B26-B25</f>
        <v>1.6707976675E-2</v>
      </c>
      <c r="C33" s="2">
        <f t="shared" si="1"/>
        <v>1.4243504700000001E-2</v>
      </c>
    </row>
    <row r="34" spans="1:5" hidden="1">
      <c r="A34" s="3" t="s">
        <v>6</v>
      </c>
      <c r="B34" s="2">
        <f t="shared" si="1"/>
        <v>2.6699997824999998E-2</v>
      </c>
      <c r="C34" s="2">
        <f t="shared" si="1"/>
        <v>2.7945670499999999E-2</v>
      </c>
    </row>
    <row r="35" spans="1:5" hidden="1">
      <c r="A35" s="4" t="s">
        <v>14</v>
      </c>
      <c r="B35" s="1"/>
      <c r="C35" s="1"/>
    </row>
    <row r="36" spans="1:5" hidden="1">
      <c r="A36" s="3" t="s">
        <v>18</v>
      </c>
      <c r="B36" s="2">
        <f t="shared" ref="B36:C36" si="2">B27+1.5*B29</f>
        <v>0.113086434525</v>
      </c>
      <c r="C36" s="2">
        <f t="shared" si="2"/>
        <v>0.11530283665</v>
      </c>
    </row>
    <row r="37" spans="1:5" hidden="1">
      <c r="A37" s="3" t="s">
        <v>19</v>
      </c>
      <c r="B37" s="2">
        <f t="shared" ref="B37:C37" si="3">B25-1.5*B29</f>
        <v>-6.0545463475000005E-2</v>
      </c>
      <c r="C37" s="2">
        <f t="shared" si="3"/>
        <v>-5.3453864150000002E-2</v>
      </c>
    </row>
    <row r="38" spans="1:5" hidden="1">
      <c r="A38" s="3" t="s">
        <v>7</v>
      </c>
      <c r="B38" s="2">
        <f t="shared" ref="B38:C38" si="4">MIN(B36,B28)</f>
        <v>0.113086434525</v>
      </c>
      <c r="C38" s="2">
        <f t="shared" si="4"/>
        <v>0.11530283665</v>
      </c>
    </row>
    <row r="39" spans="1:5" hidden="1">
      <c r="A39" s="3" t="s">
        <v>13</v>
      </c>
      <c r="B39" s="2">
        <f t="shared" ref="B39:C39" si="5">MAX(B24,B37)</f>
        <v>0</v>
      </c>
      <c r="C39" s="2">
        <f t="shared" si="5"/>
        <v>0</v>
      </c>
    </row>
    <row r="40" spans="1:5" hidden="1">
      <c r="A40" s="3" t="s">
        <v>20</v>
      </c>
      <c r="B40" s="2">
        <f t="shared" ref="B40:C40" si="6">B38-B27</f>
        <v>6.5111961750000003E-2</v>
      </c>
      <c r="C40" s="2">
        <f t="shared" si="6"/>
        <v>6.3283762800000004E-2</v>
      </c>
    </row>
    <row r="41" spans="1:5" hidden="1">
      <c r="A41" s="3" t="s">
        <v>21</v>
      </c>
      <c r="B41" s="2">
        <f t="shared" ref="B41:C41" si="7">B25-B39</f>
        <v>4.5664982749999998E-3</v>
      </c>
      <c r="C41" s="2">
        <f t="shared" si="7"/>
        <v>9.8298986500000001E-3</v>
      </c>
    </row>
    <row r="42" spans="1:5" hidden="1">
      <c r="A42" s="4" t="s">
        <v>10</v>
      </c>
      <c r="B42" s="1"/>
      <c r="C42" s="1"/>
    </row>
    <row r="43" spans="1:5" hidden="1">
      <c r="A43" s="3" t="s">
        <v>2</v>
      </c>
      <c r="B43" s="2">
        <f t="shared" ref="B43:C43" si="8">IF(B30&gt;0,B28,NA())</f>
        <v>0.4</v>
      </c>
      <c r="C43" s="2">
        <f t="shared" si="8"/>
        <v>0.4</v>
      </c>
    </row>
    <row r="44" spans="1:5" hidden="1">
      <c r="A44" s="3" t="s">
        <v>1</v>
      </c>
      <c r="B44" s="2" t="e">
        <f t="shared" ref="B44:C44" si="9">IF(B31&gt;0,B24,NA())</f>
        <v>#N/A</v>
      </c>
      <c r="C44" s="2" t="e">
        <f t="shared" si="9"/>
        <v>#N/A</v>
      </c>
    </row>
    <row r="45" spans="1:5">
      <c r="E45" s="10" t="s">
        <v>49</v>
      </c>
    </row>
    <row r="46" spans="1:5" ht="15">
      <c r="A46" s="5" t="s">
        <v>11</v>
      </c>
      <c r="B46" s="12" t="s">
        <v>52</v>
      </c>
      <c r="C46" s="12" t="s">
        <v>53</v>
      </c>
    </row>
    <row r="47" spans="1:5">
      <c r="B47" s="13">
        <v>0</v>
      </c>
      <c r="C47" s="13">
        <v>0</v>
      </c>
    </row>
    <row r="48" spans="1:5">
      <c r="B48" s="13">
        <v>0</v>
      </c>
      <c r="C48" s="13">
        <v>1.5748031499999999E-2</v>
      </c>
    </row>
    <row r="49" spans="2:3">
      <c r="B49" s="13">
        <v>0</v>
      </c>
      <c r="C49" s="13">
        <v>0</v>
      </c>
    </row>
    <row r="50" spans="2:3">
      <c r="B50" s="13">
        <v>0.4</v>
      </c>
      <c r="C50" s="13">
        <v>0.4</v>
      </c>
    </row>
    <row r="51" spans="2:3">
      <c r="B51" s="13">
        <v>3.5029878000000002E-3</v>
      </c>
      <c r="C51" s="13">
        <v>6.8376067999999998E-3</v>
      </c>
    </row>
    <row r="52" spans="2:3">
      <c r="B52" s="13">
        <v>0</v>
      </c>
      <c r="C52" s="13">
        <v>0</v>
      </c>
    </row>
    <row r="53" spans="2:3">
      <c r="B53" s="13">
        <v>3.6101083E-3</v>
      </c>
      <c r="C53" s="13">
        <v>5.8646616499999998E-2</v>
      </c>
    </row>
    <row r="54" spans="2:3">
      <c r="B54" s="13">
        <v>7.9872203999999999E-3</v>
      </c>
      <c r="C54" s="13">
        <v>7.8864352999999995E-3</v>
      </c>
    </row>
    <row r="55" spans="2:3">
      <c r="B55" s="13">
        <v>1.4485981300000001E-2</v>
      </c>
      <c r="C55" s="13">
        <v>1.80015091E-2</v>
      </c>
    </row>
    <row r="56" spans="2:3">
      <c r="B56" s="13">
        <v>2.40208877E-2</v>
      </c>
      <c r="C56" s="13">
        <v>1.50637312E-2</v>
      </c>
    </row>
    <row r="57" spans="2:3">
      <c r="B57" s="13">
        <v>6.3559322000000001E-2</v>
      </c>
      <c r="C57" s="13">
        <v>4.36910171E-2</v>
      </c>
    </row>
    <row r="58" spans="2:3">
      <c r="B58" s="13">
        <v>3.8572251000000002E-2</v>
      </c>
      <c r="C58" s="13">
        <v>4.50097847E-2</v>
      </c>
    </row>
    <row r="59" spans="2:3">
      <c r="B59" s="13">
        <v>2.0363636399999999E-2</v>
      </c>
      <c r="C59" s="13">
        <v>2.0661156999999999E-2</v>
      </c>
    </row>
    <row r="60" spans="2:3">
      <c r="B60" s="13">
        <v>0</v>
      </c>
      <c r="C60" s="13">
        <v>2.6506024100000001E-2</v>
      </c>
    </row>
    <row r="61" spans="2:3">
      <c r="B61" s="13">
        <v>4.8203330400000001E-2</v>
      </c>
      <c r="C61" s="13">
        <v>4.7460449600000003E-2</v>
      </c>
    </row>
    <row r="62" spans="2:3">
      <c r="B62" s="13">
        <v>4.8975957299999998E-2</v>
      </c>
      <c r="C62" s="13">
        <v>2.4869109899999998E-2</v>
      </c>
    </row>
    <row r="63" spans="2:3">
      <c r="B63" s="13">
        <v>3.9218533999999996E-3</v>
      </c>
      <c r="C63" s="13">
        <v>3.9166384999999998E-3</v>
      </c>
    </row>
    <row r="64" spans="2:3">
      <c r="B64" s="13">
        <v>0.17120622569999999</v>
      </c>
      <c r="C64" s="13">
        <v>0.1271118262</v>
      </c>
    </row>
    <row r="65" spans="2:3">
      <c r="B65" s="13">
        <v>1.3513513499999999E-2</v>
      </c>
      <c r="C65" s="13">
        <v>2.3904382500000002E-2</v>
      </c>
    </row>
    <row r="66" spans="2:3">
      <c r="B66" s="13">
        <v>0</v>
      </c>
      <c r="C66" s="13">
        <v>4.7169811300000003E-2</v>
      </c>
    </row>
    <row r="67" spans="2:3">
      <c r="B67" s="13">
        <v>7.3992673999999994E-2</v>
      </c>
      <c r="C67" s="13">
        <v>0.1047227926</v>
      </c>
    </row>
    <row r="68" spans="2:3">
      <c r="B68" s="13">
        <v>3.80794702E-2</v>
      </c>
      <c r="C68" s="13">
        <v>3.19506726E-2</v>
      </c>
    </row>
    <row r="69" spans="2:3">
      <c r="B69" s="13">
        <v>2.30149597E-2</v>
      </c>
      <c r="C69" s="13">
        <v>3.2882011599999997E-2</v>
      </c>
    </row>
    <row r="70" spans="2:3">
      <c r="B70" s="13">
        <v>1.6411378599999998E-2</v>
      </c>
      <c r="C70" s="13">
        <v>3.2786885199999997E-2</v>
      </c>
    </row>
    <row r="71" spans="2:3">
      <c r="B71" s="13">
        <v>2.4449877999999999E-3</v>
      </c>
      <c r="C71" s="13">
        <v>1.9971469299999999E-2</v>
      </c>
    </row>
    <row r="72" spans="2:3">
      <c r="B72" s="13">
        <v>8.6956522000000008E-3</v>
      </c>
      <c r="C72" s="13">
        <v>1.49253731E-2</v>
      </c>
    </row>
    <row r="73" spans="2:3">
      <c r="B73" s="13">
        <v>0.1103622578</v>
      </c>
      <c r="C73" s="13">
        <v>0.15056179780000001</v>
      </c>
    </row>
    <row r="74" spans="2:3">
      <c r="B74" s="13">
        <v>0.1152416357</v>
      </c>
      <c r="C74" s="13">
        <v>0.1027801179</v>
      </c>
    </row>
    <row r="75" spans="2:3">
      <c r="B75" s="13">
        <v>0.1007194245</v>
      </c>
      <c r="C75" s="13">
        <v>9.6985583200000003E-2</v>
      </c>
    </row>
    <row r="76" spans="2:3">
      <c r="B76" s="13">
        <v>0.102003643</v>
      </c>
      <c r="C76" s="13">
        <v>0.1153846154</v>
      </c>
    </row>
    <row r="77" spans="2:3">
      <c r="B77" s="13">
        <v>3.9370079000000001E-3</v>
      </c>
      <c r="C77" s="13">
        <v>1.6556291399999999E-2</v>
      </c>
    </row>
    <row r="78" spans="2:3">
      <c r="B78" s="13">
        <v>1.7980385000000002E-2</v>
      </c>
      <c r="C78" s="13">
        <v>1.1807447800000001E-2</v>
      </c>
    </row>
    <row r="79" spans="2:3">
      <c r="B79" s="13">
        <v>7.5892857100000002E-2</v>
      </c>
      <c r="C79" s="13">
        <v>7.8369906000000003E-2</v>
      </c>
    </row>
    <row r="80" spans="2:3">
      <c r="B80" s="13">
        <v>1.1534024999999999E-3</v>
      </c>
      <c r="C80" s="13">
        <v>2.3273856000000002E-3</v>
      </c>
    </row>
    <row r="81" spans="1:3">
      <c r="B81" s="13">
        <v>1.9704433000000002E-3</v>
      </c>
      <c r="C81" s="13">
        <v>4.5231071800000001E-2</v>
      </c>
    </row>
    <row r="82" spans="1:3">
      <c r="B82" s="13">
        <v>7.9199666999999994E-3</v>
      </c>
      <c r="C82" s="13">
        <v>9.9594246000000008E-3</v>
      </c>
    </row>
    <row r="83" spans="1:3">
      <c r="B83" s="13">
        <v>4.6296295999999999E-3</v>
      </c>
      <c r="C83" s="13">
        <v>3.8565208400000002E-2</v>
      </c>
    </row>
    <row r="84" spans="1:3">
      <c r="B84" s="13">
        <v>0</v>
      </c>
      <c r="C84" s="13">
        <v>0</v>
      </c>
    </row>
    <row r="85" spans="1:3">
      <c r="B85" s="13">
        <v>3.97323001E-2</v>
      </c>
      <c r="C85" s="13">
        <v>6.3211683399999996E-2</v>
      </c>
    </row>
    <row r="86" spans="1:3">
      <c r="B86" s="13">
        <v>7.5301205000000001E-3</v>
      </c>
      <c r="C86" s="13">
        <v>2.4242424200000001E-2</v>
      </c>
    </row>
    <row r="87" spans="1:3">
      <c r="A87" s="6" t="s">
        <v>0</v>
      </c>
      <c r="B87" s="13">
        <v>2.23367698E-2</v>
      </c>
      <c r="C87" s="13">
        <v>1.7252675299999999E-2</v>
      </c>
    </row>
    <row r="88" spans="1:3">
      <c r="B88" s="13">
        <v>1.6605166099999999E-2</v>
      </c>
      <c r="C88" s="13">
        <v>0</v>
      </c>
    </row>
    <row r="89" spans="1:3">
      <c r="B89" s="13">
        <v>1.9675356599999999E-2</v>
      </c>
      <c r="C89" s="13">
        <v>1.5198511200000001E-2</v>
      </c>
    </row>
    <row r="90" spans="1:3">
      <c r="B90" s="13">
        <v>1.9675356599999999E-2</v>
      </c>
      <c r="C90" s="13">
        <v>1.6288782799999998E-2</v>
      </c>
    </row>
    <row r="91" spans="1:3">
      <c r="B91" s="13">
        <v>4.3071160999999997E-2</v>
      </c>
      <c r="C91" s="13">
        <v>7.52972259E-2</v>
      </c>
    </row>
    <row r="92" spans="1:3">
      <c r="B92" s="13">
        <v>0.23063707950000001</v>
      </c>
      <c r="C92" s="13">
        <v>0.20081018519999999</v>
      </c>
    </row>
    <row r="93" spans="1:3">
      <c r="B93" s="13">
        <v>4.5703839099999997E-2</v>
      </c>
      <c r="C93" s="13">
        <v>7.7397644400000007E-2</v>
      </c>
    </row>
    <row r="94" spans="1:3">
      <c r="B94" s="13">
        <v>4.5079855699999997E-2</v>
      </c>
      <c r="C94" s="13">
        <v>1.7834333500000001E-2</v>
      </c>
    </row>
    <row r="95" spans="1:3">
      <c r="B95" s="13">
        <v>4.5079855699999997E-2</v>
      </c>
      <c r="C95" s="13">
        <v>1.7834333500000001E-2</v>
      </c>
    </row>
    <row r="96" spans="1:3">
      <c r="B96" s="13">
        <v>1.6992353E-3</v>
      </c>
      <c r="C96" s="13">
        <v>5.8616646999999997E-3</v>
      </c>
    </row>
    <row r="97" spans="2:3">
      <c r="B97" s="13">
        <v>4.4040950400000001E-2</v>
      </c>
      <c r="C97" s="13">
        <v>4.8448788800000003E-2</v>
      </c>
    </row>
    <row r="98" spans="2:3">
      <c r="B98" s="13">
        <v>1.8808777400000001E-2</v>
      </c>
      <c r="C98" s="13">
        <v>1.3740458000000001E-2</v>
      </c>
    </row>
    <row r="99" spans="2:3">
      <c r="B99" s="13">
        <v>2.1164021200000001E-2</v>
      </c>
      <c r="C99" s="13">
        <v>1.5873015899999999E-2</v>
      </c>
    </row>
    <row r="100" spans="2:3">
      <c r="B100" s="13">
        <v>1.0714285699999999E-2</v>
      </c>
      <c r="C100" s="13">
        <v>1.01351351E-2</v>
      </c>
    </row>
    <row r="101" spans="2:3">
      <c r="B101" s="13">
        <v>1.38202594E-2</v>
      </c>
      <c r="C101" s="13">
        <v>1.77887789E-2</v>
      </c>
    </row>
    <row r="102" spans="2:3">
      <c r="B102" s="13">
        <v>5.16304348E-2</v>
      </c>
      <c r="C102" s="13">
        <v>6.4405324200000003E-2</v>
      </c>
    </row>
    <row r="103" spans="2:3">
      <c r="B103" s="13">
        <v>0</v>
      </c>
      <c r="C103" s="13">
        <v>0</v>
      </c>
    </row>
    <row r="104" spans="2:3">
      <c r="B104" s="13">
        <v>1.7699115000000001E-2</v>
      </c>
      <c r="C104" s="13">
        <v>1.8321261200000001E-2</v>
      </c>
    </row>
    <row r="105" spans="2:3">
      <c r="B105" s="13">
        <v>7.6843197999999996E-3</v>
      </c>
      <c r="C105" s="13">
        <v>2.55028736E-2</v>
      </c>
    </row>
    <row r="106" spans="2:3">
      <c r="B106" s="13">
        <v>0.25823223569999998</v>
      </c>
      <c r="C106" s="13">
        <v>9.3795093999999996E-3</v>
      </c>
    </row>
    <row r="107" spans="2:3">
      <c r="B107" s="13">
        <v>0.27302275190000003</v>
      </c>
      <c r="C107" s="13">
        <v>2.9040403999999999E-2</v>
      </c>
    </row>
    <row r="108" spans="2:3">
      <c r="B108" s="13">
        <v>0.140625</v>
      </c>
      <c r="C108" s="13">
        <v>5.8479532000000004E-3</v>
      </c>
    </row>
    <row r="109" spans="2:3">
      <c r="B109" s="13">
        <v>0</v>
      </c>
      <c r="C109" s="13">
        <v>1.22699387E-2</v>
      </c>
    </row>
    <row r="110" spans="2:3">
      <c r="B110" s="13">
        <v>1.85654008E-2</v>
      </c>
      <c r="C110" s="13">
        <v>1.2558869699999999E-2</v>
      </c>
    </row>
    <row r="111" spans="2:3">
      <c r="B111" s="13">
        <v>2.13849287E-2</v>
      </c>
      <c r="C111" s="13">
        <v>1.9354838700000002E-2</v>
      </c>
    </row>
    <row r="112" spans="2:3">
      <c r="B112" s="13">
        <v>3.4970059900000003E-2</v>
      </c>
      <c r="C112" s="13">
        <v>2.8788358100000001E-2</v>
      </c>
    </row>
    <row r="113" spans="2:3">
      <c r="B113" s="13">
        <v>4.6309696099999999E-2</v>
      </c>
      <c r="C113" s="13">
        <v>3.5886448799999998E-2</v>
      </c>
    </row>
    <row r="114" spans="2:3">
      <c r="B114" s="13">
        <v>4.4505361600000001E-2</v>
      </c>
      <c r="C114" s="13">
        <v>0</v>
      </c>
    </row>
    <row r="115" spans="2:3">
      <c r="B115" s="13">
        <v>2.3482053E-3</v>
      </c>
      <c r="C115" s="13">
        <v>3.2128514000000002E-3</v>
      </c>
    </row>
    <row r="116" spans="2:3">
      <c r="B116" s="13">
        <v>0</v>
      </c>
      <c r="C116" s="13">
        <v>0</v>
      </c>
    </row>
    <row r="117" spans="2:3">
      <c r="B117" s="13">
        <v>3.8745387499999999E-2</v>
      </c>
      <c r="C117" s="13">
        <v>4.2857142899999999E-2</v>
      </c>
    </row>
    <row r="118" spans="2:3">
      <c r="B118" s="13">
        <v>1.7600000000000001E-2</v>
      </c>
      <c r="C118" s="13">
        <v>1.5642458099999999E-2</v>
      </c>
    </row>
    <row r="119" spans="2:3">
      <c r="B119" s="13">
        <v>5.8419244000000002E-2</v>
      </c>
      <c r="C119" s="13">
        <v>7.7477477500000003E-2</v>
      </c>
    </row>
    <row r="120" spans="2:3">
      <c r="B120" s="13">
        <v>5.2592036100000003E-2</v>
      </c>
      <c r="C120" s="13">
        <v>4.8823322799999999E-2</v>
      </c>
    </row>
    <row r="121" spans="2:3">
      <c r="B121" s="13">
        <v>8.2758620999999997E-3</v>
      </c>
      <c r="C121" s="13">
        <v>1.34228188E-2</v>
      </c>
    </row>
    <row r="122" spans="2:3">
      <c r="B122" s="13">
        <v>0</v>
      </c>
      <c r="C122" s="13">
        <v>0</v>
      </c>
    </row>
    <row r="123" spans="2:3">
      <c r="B123" s="13">
        <v>0</v>
      </c>
      <c r="C123" s="13">
        <v>2.3890785000000001E-2</v>
      </c>
    </row>
    <row r="124" spans="2:3">
      <c r="B124" s="13">
        <v>5.6737588700000001E-2</v>
      </c>
      <c r="C124" s="13">
        <v>5.5944055899999998E-2</v>
      </c>
    </row>
    <row r="125" spans="2:3">
      <c r="B125" s="13">
        <v>2.4630542000000002E-3</v>
      </c>
      <c r="C125" s="13">
        <v>1.49597238E-2</v>
      </c>
    </row>
    <row r="126" spans="2:3">
      <c r="B126" s="13">
        <v>5.3412462899999999E-2</v>
      </c>
      <c r="C126" s="13">
        <v>4.75260417E-2</v>
      </c>
    </row>
    <row r="127" spans="2:3">
      <c r="B127" s="13">
        <v>0.17582417580000001</v>
      </c>
      <c r="C127" s="13">
        <v>3.0902348600000001E-2</v>
      </c>
    </row>
    <row r="128" spans="2:3">
      <c r="B128" s="13">
        <v>3.86697602E-2</v>
      </c>
      <c r="C128" s="13">
        <v>2.4411134899999999E-2</v>
      </c>
    </row>
    <row r="129" spans="2:3">
      <c r="B129" s="13">
        <v>4.1165587400000002E-2</v>
      </c>
      <c r="C129" s="13">
        <v>4.92366412E-2</v>
      </c>
    </row>
    <row r="130" spans="2:3">
      <c r="B130" s="13">
        <v>3.3768227200000001E-2</v>
      </c>
      <c r="C130" s="13">
        <v>5.2371134E-2</v>
      </c>
    </row>
    <row r="131" spans="2:3">
      <c r="B131" s="13">
        <v>4.09836066E-2</v>
      </c>
      <c r="C131" s="13">
        <v>0.13681592040000001</v>
      </c>
    </row>
    <row r="132" spans="2:3">
      <c r="B132" s="13">
        <v>9.9892588599999999E-2</v>
      </c>
      <c r="C132" s="13">
        <v>4.81064483E-2</v>
      </c>
    </row>
    <row r="133" spans="2:3">
      <c r="B133" s="13">
        <v>2.75862069E-2</v>
      </c>
      <c r="C133" s="13">
        <v>0.14739884389999999</v>
      </c>
    </row>
    <row r="134" spans="2:3">
      <c r="B134" s="13">
        <v>0</v>
      </c>
      <c r="C134" s="13">
        <v>2.7255029199999999E-2</v>
      </c>
    </row>
    <row r="135" spans="2:3">
      <c r="B135" s="13">
        <v>0.14285714290000001</v>
      </c>
      <c r="C135" s="13">
        <v>7.1428571400000002E-2</v>
      </c>
    </row>
    <row r="136" spans="2:3">
      <c r="B136" s="13">
        <v>0.16666666669999999</v>
      </c>
      <c r="C136" s="13">
        <v>0.15816326529999999</v>
      </c>
    </row>
    <row r="137" spans="2:3">
      <c r="B137" s="13">
        <v>4.7274605999999997E-2</v>
      </c>
      <c r="C137" s="13">
        <v>5.0962893400000001E-2</v>
      </c>
    </row>
    <row r="138" spans="2:3">
      <c r="B138" s="13">
        <v>2.1551724E-3</v>
      </c>
      <c r="C138" s="13">
        <v>1.6694491E-3</v>
      </c>
    </row>
    <row r="139" spans="2:3">
      <c r="B139" s="13">
        <v>0</v>
      </c>
      <c r="C139" s="13">
        <v>1.6528925600000001E-2</v>
      </c>
    </row>
    <row r="140" spans="2:3">
      <c r="B140" s="13">
        <v>0.18237082069999999</v>
      </c>
      <c r="C140" s="13">
        <v>9.6308186000000004E-3</v>
      </c>
    </row>
    <row r="141" spans="2:3">
      <c r="B141" s="13">
        <v>2.3809523799999999E-2</v>
      </c>
      <c r="C141" s="13">
        <v>5.2478134099999997E-2</v>
      </c>
    </row>
    <row r="142" spans="2:3">
      <c r="B142" s="13">
        <v>0.4</v>
      </c>
      <c r="C142" s="13">
        <v>0</v>
      </c>
    </row>
    <row r="143" spans="2:3">
      <c r="B143" s="13">
        <v>6.8493151000000004E-3</v>
      </c>
      <c r="C143" s="13">
        <v>2.3076923100000001E-2</v>
      </c>
    </row>
    <row r="144" spans="2:3">
      <c r="B144" s="13">
        <v>0</v>
      </c>
      <c r="C144" s="13">
        <v>2.03843914E-2</v>
      </c>
    </row>
    <row r="145" spans="2:3">
      <c r="B145" s="13">
        <v>0</v>
      </c>
      <c r="C145" s="13">
        <v>0</v>
      </c>
    </row>
    <row r="146" spans="2:3">
      <c r="B146" s="13">
        <v>0</v>
      </c>
      <c r="C146" s="13">
        <v>0</v>
      </c>
    </row>
    <row r="147" spans="2:3">
      <c r="B147" s="13">
        <v>1.9455252999999999E-3</v>
      </c>
      <c r="C147" s="13">
        <v>1.09569028E-2</v>
      </c>
    </row>
    <row r="148" spans="2:3">
      <c r="B148" s="13">
        <v>2.4330900000000002E-3</v>
      </c>
      <c r="C148" s="13">
        <v>3.8797284E-3</v>
      </c>
    </row>
    <row r="149" spans="2:3">
      <c r="B149" s="13">
        <v>0</v>
      </c>
      <c r="C149" s="13">
        <v>1.6260162599999999E-2</v>
      </c>
    </row>
    <row r="150" spans="2:3">
      <c r="B150" s="13">
        <v>1.08968986E-2</v>
      </c>
      <c r="C150" s="13">
        <v>0</v>
      </c>
    </row>
    <row r="151" spans="2:3">
      <c r="B151" s="13">
        <v>5.5325035E-3</v>
      </c>
      <c r="C151" s="13">
        <v>8.4865628999999995E-3</v>
      </c>
    </row>
    <row r="152" spans="2:3">
      <c r="B152" s="13">
        <v>2.0533880899999999E-2</v>
      </c>
      <c r="C152" s="13">
        <v>9.9447514000000001E-3</v>
      </c>
    </row>
    <row r="153" spans="2:3">
      <c r="B153" s="13">
        <v>2.4171888999999998E-2</v>
      </c>
      <c r="C153" s="13">
        <v>9.7916144000000007E-3</v>
      </c>
    </row>
    <row r="154" spans="2:3">
      <c r="B154" s="13">
        <v>0</v>
      </c>
      <c r="C154" s="13">
        <v>0</v>
      </c>
    </row>
    <row r="155" spans="2:3">
      <c r="B155" s="13">
        <v>3.0612244899999998E-2</v>
      </c>
      <c r="C155" s="13">
        <v>3.6697247699999998E-2</v>
      </c>
    </row>
    <row r="156" spans="2:3">
      <c r="B156" s="13">
        <v>2.86396181E-2</v>
      </c>
      <c r="C156" s="13">
        <v>3.9727582300000001E-2</v>
      </c>
    </row>
    <row r="157" spans="2:3">
      <c r="B157" s="13">
        <v>3.1358885000000003E-2</v>
      </c>
      <c r="C157" s="13">
        <v>3.0286928800000001E-2</v>
      </c>
    </row>
    <row r="158" spans="2:3">
      <c r="B158" s="13">
        <v>9.2850511000000004E-3</v>
      </c>
      <c r="C158" s="13">
        <v>1.00633619E-2</v>
      </c>
    </row>
    <row r="159" spans="2:3">
      <c r="B159" s="13">
        <v>5.1033591699999999E-2</v>
      </c>
      <c r="C159" s="13">
        <v>0.18003127090000001</v>
      </c>
    </row>
    <row r="160" spans="2:3">
      <c r="B160" s="13">
        <v>8.3857441999999997E-3</v>
      </c>
      <c r="C160" s="13">
        <v>2.4852569500000001E-2</v>
      </c>
    </row>
    <row r="161" spans="2:3">
      <c r="B161" s="13">
        <v>4.6728971999999997E-3</v>
      </c>
      <c r="C161" s="13">
        <v>1.81268882E-2</v>
      </c>
    </row>
    <row r="162" spans="2:3">
      <c r="B162" s="13">
        <v>4.5454544999999997E-3</v>
      </c>
      <c r="C162" s="13">
        <v>1.9650655E-2</v>
      </c>
    </row>
    <row r="163" spans="2:3">
      <c r="B163" s="13">
        <v>2.3094688000000001E-3</v>
      </c>
      <c r="C163" s="13">
        <v>2.0790021E-3</v>
      </c>
    </row>
    <row r="164" spans="2:3">
      <c r="B164" s="13">
        <v>0</v>
      </c>
      <c r="C164" s="13">
        <v>0</v>
      </c>
    </row>
    <row r="165" spans="2:3">
      <c r="B165" s="13">
        <v>0</v>
      </c>
      <c r="C165" s="13">
        <v>0</v>
      </c>
    </row>
    <row r="166" spans="2:3">
      <c r="B166" s="13">
        <v>0</v>
      </c>
      <c r="C166" s="13">
        <v>1.38696255E-2</v>
      </c>
    </row>
    <row r="167" spans="2:3">
      <c r="B167" s="13">
        <v>4.3948126800000001E-2</v>
      </c>
      <c r="C167" s="13">
        <v>3.5211267599999999E-2</v>
      </c>
    </row>
    <row r="168" spans="2:3">
      <c r="B168" s="13">
        <v>4.2272573600000002E-2</v>
      </c>
      <c r="C168" s="13">
        <v>5.6211354999999999E-3</v>
      </c>
    </row>
    <row r="169" spans="2:3">
      <c r="B169" s="13">
        <v>3.6608863200000001E-2</v>
      </c>
      <c r="C169" s="13">
        <v>3.48633733E-2</v>
      </c>
    </row>
    <row r="170" spans="2:3">
      <c r="B170" s="13">
        <v>1.3757524E-3</v>
      </c>
      <c r="C170" s="13">
        <v>2.3107645499999999E-2</v>
      </c>
    </row>
    <row r="171" spans="2:3">
      <c r="B171" s="13">
        <v>0.110804713</v>
      </c>
      <c r="C171" s="13">
        <v>0.1046800066</v>
      </c>
    </row>
    <row r="172" spans="2:3">
      <c r="B172" s="13">
        <v>1.51515152E-2</v>
      </c>
      <c r="C172" s="13">
        <v>1.83486239E-2</v>
      </c>
    </row>
    <row r="173" spans="2:3">
      <c r="B173" s="13">
        <v>4.0325367000000001E-2</v>
      </c>
      <c r="C173" s="13">
        <v>0</v>
      </c>
    </row>
    <row r="174" spans="2:3">
      <c r="B174" s="13">
        <v>0</v>
      </c>
      <c r="C174" s="13">
        <v>0</v>
      </c>
    </row>
    <row r="175" spans="2:3">
      <c r="B175" s="13">
        <v>9.2573753800000005E-2</v>
      </c>
      <c r="C175" s="13">
        <v>6.67244367E-2</v>
      </c>
    </row>
    <row r="176" spans="2:3">
      <c r="B176" s="13">
        <v>0.106888361</v>
      </c>
      <c r="C176" s="13">
        <v>7.8796561599999995E-2</v>
      </c>
    </row>
    <row r="177" spans="2:3">
      <c r="B177" s="13">
        <v>0</v>
      </c>
      <c r="C177" s="13">
        <v>0</v>
      </c>
    </row>
    <row r="178" spans="2:3">
      <c r="B178" s="13">
        <v>1.3363029E-2</v>
      </c>
      <c r="C178" s="13">
        <v>2.5961538499999999E-2</v>
      </c>
    </row>
    <row r="179" spans="2:3">
      <c r="B179" s="13">
        <v>8.3627797399999995E-2</v>
      </c>
      <c r="C179" s="13">
        <v>7.3230268500000001E-2</v>
      </c>
    </row>
    <row r="180" spans="2:3">
      <c r="B180" s="13">
        <v>5.5803571400000002E-2</v>
      </c>
      <c r="C180" s="13">
        <v>0</v>
      </c>
    </row>
    <row r="181" spans="2:3">
      <c r="B181" s="13">
        <v>5.3811659000000001E-3</v>
      </c>
      <c r="C181" s="13">
        <v>7.7951002000000002E-3</v>
      </c>
    </row>
    <row r="182" spans="2:3">
      <c r="B182" s="13">
        <v>9.3333333300000001E-2</v>
      </c>
      <c r="C182" s="13">
        <v>6.7729083699999998E-2</v>
      </c>
    </row>
    <row r="183" spans="2:3">
      <c r="B183" s="13">
        <v>0</v>
      </c>
      <c r="C183" s="13">
        <v>8.7719297999999998E-3</v>
      </c>
    </row>
    <row r="184" spans="2:3">
      <c r="B184" s="13">
        <v>2.1685254000000001E-2</v>
      </c>
      <c r="C184" s="13">
        <v>4.4528388299999999E-2</v>
      </c>
    </row>
    <row r="185" spans="2:3">
      <c r="B185" s="13">
        <v>1.08695652E-2</v>
      </c>
      <c r="C185" s="13">
        <v>0.1086474501</v>
      </c>
    </row>
    <row r="186" spans="2:3">
      <c r="B186" s="13">
        <v>3.0213706699999999E-2</v>
      </c>
      <c r="C186" s="13">
        <v>5.33807829E-2</v>
      </c>
    </row>
    <row r="187" spans="2:3">
      <c r="B187" s="13">
        <v>2.2573363400000001E-2</v>
      </c>
      <c r="C187" s="13">
        <v>5.0829875500000003E-2</v>
      </c>
    </row>
    <row r="188" spans="2:3">
      <c r="B188" s="13">
        <v>0.14285714290000001</v>
      </c>
      <c r="C188" s="13">
        <v>0.14285714290000001</v>
      </c>
    </row>
    <row r="189" spans="2:3">
      <c r="B189" s="13">
        <v>1.42857143E-2</v>
      </c>
      <c r="C189" s="13">
        <v>0</v>
      </c>
    </row>
    <row r="190" spans="2:3">
      <c r="B190" s="13">
        <v>2.05882353E-2</v>
      </c>
      <c r="C190" s="13">
        <v>3.3686236799999998E-2</v>
      </c>
    </row>
    <row r="191" spans="2:3">
      <c r="B191" s="13">
        <v>1.2722646299999999E-2</v>
      </c>
      <c r="C191" s="13">
        <v>4.05405405E-2</v>
      </c>
    </row>
    <row r="192" spans="2:3">
      <c r="B192" s="13">
        <v>2.9126213599999999E-2</v>
      </c>
      <c r="C192" s="13">
        <v>5.0113895200000001E-2</v>
      </c>
    </row>
    <row r="193" spans="2:3">
      <c r="B193" s="13">
        <v>2.06896552E-2</v>
      </c>
      <c r="C193" s="13">
        <v>0</v>
      </c>
    </row>
    <row r="194" spans="2:3">
      <c r="B194" s="13">
        <v>1.09489051E-2</v>
      </c>
      <c r="C194" s="13">
        <v>0</v>
      </c>
    </row>
    <row r="195" spans="2:3">
      <c r="B195" s="13">
        <v>2.0547945200000001E-2</v>
      </c>
      <c r="C195" s="13">
        <v>0</v>
      </c>
    </row>
    <row r="196" spans="2:3">
      <c r="B196" s="13">
        <v>2.5559105400000001E-2</v>
      </c>
      <c r="C196" s="13">
        <v>4.9751243799999997E-2</v>
      </c>
    </row>
    <row r="197" spans="2:3">
      <c r="B197" s="13">
        <v>1.6746411499999999E-2</v>
      </c>
      <c r="C197" s="13">
        <v>1.0840108399999999E-2</v>
      </c>
    </row>
    <row r="198" spans="2:3">
      <c r="B198" s="13">
        <v>4.2862684300000002E-2</v>
      </c>
      <c r="C198" s="13">
        <v>9.6940418700000003E-2</v>
      </c>
    </row>
    <row r="199" spans="2:3">
      <c r="B199" s="13">
        <v>6.6780821899999995E-2</v>
      </c>
      <c r="C199" s="13">
        <v>0.11119293080000001</v>
      </c>
    </row>
    <row r="200" spans="2:3">
      <c r="B200" s="13">
        <v>8.0831408800000004E-2</v>
      </c>
      <c r="C200" s="13">
        <v>8.6903304799999997E-2</v>
      </c>
    </row>
    <row r="201" spans="2:3">
      <c r="B201" s="13">
        <v>3.3126294000000001E-2</v>
      </c>
      <c r="C201" s="13">
        <v>8.5590778100000001E-2</v>
      </c>
    </row>
    <row r="202" spans="2:3">
      <c r="B202" s="13">
        <v>0.1403508772</v>
      </c>
      <c r="C202" s="13">
        <v>0.1208530806</v>
      </c>
    </row>
    <row r="203" spans="2:3">
      <c r="B203" s="13">
        <v>0.10493827159999999</v>
      </c>
      <c r="C203" s="13">
        <v>0.10225885229999999</v>
      </c>
    </row>
    <row r="204" spans="2:3">
      <c r="B204" s="13">
        <v>5.1236749099999999E-2</v>
      </c>
      <c r="C204" s="13">
        <v>4.3333333299999999E-2</v>
      </c>
    </row>
    <row r="205" spans="2:3">
      <c r="B205" s="13">
        <v>2.9350104799999999E-2</v>
      </c>
      <c r="C205" s="13">
        <v>6.5548780500000001E-2</v>
      </c>
    </row>
    <row r="206" spans="2:3">
      <c r="B206" s="13">
        <v>4.7287899899999999E-2</v>
      </c>
      <c r="C206" s="13">
        <v>6.6418703499999995E-2</v>
      </c>
    </row>
    <row r="207" spans="2:3">
      <c r="B207" s="13">
        <v>0.18295218299999999</v>
      </c>
      <c r="C207" s="13">
        <v>0.14227309890000001</v>
      </c>
    </row>
    <row r="208" spans="2:3">
      <c r="B208" s="13">
        <v>0.11686746990000001</v>
      </c>
      <c r="C208" s="13">
        <v>9.7814776300000003E-2</v>
      </c>
    </row>
    <row r="209" spans="2:3">
      <c r="B209" s="13"/>
      <c r="C209" s="13"/>
    </row>
    <row r="210" spans="2:3">
      <c r="B210" s="13"/>
      <c r="C210" s="13"/>
    </row>
    <row r="211" spans="2:3">
      <c r="B211" s="13"/>
      <c r="C211" s="13"/>
    </row>
    <row r="212" spans="2:3">
      <c r="B212" s="13"/>
      <c r="C212" s="13"/>
    </row>
    <row r="213" spans="2:3">
      <c r="B213" s="13"/>
      <c r="C213" s="13"/>
    </row>
    <row r="214" spans="2:3">
      <c r="B214" s="13"/>
      <c r="C214" s="13"/>
    </row>
    <row r="215" spans="2:3">
      <c r="B215" s="13"/>
      <c r="C215" s="13"/>
    </row>
    <row r="216" spans="2:3">
      <c r="B216" s="13"/>
      <c r="C216" s="13"/>
    </row>
  </sheetData>
  <phoneticPr fontId="0" type="noConversion"/>
  <printOptions horizontalCentered="1"/>
  <pageMargins left="0.5" right="0.5" top="0.5" bottom="0.5" header="0.25" footer="0.25"/>
  <pageSetup fitToHeight="0" orientation="portrait"/>
  <headerFooter alignWithMargins="0">
    <oddFooter>&amp;L&amp;8&amp;K01+048http://www.vertex42.com/ExcelTemplates/box-whisker-plot.html&amp;R&amp;8&amp;K01+048© 2009 Vertex42 LLC</odd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BoxPlot</vt:lpstr>
    </vt:vector>
  </TitlesOfParts>
  <Company>Vertex42 LLC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Box Plot Template</dc:title>
  <dc:creator>Vertex42.com</dc:creator>
  <dc:description>(c) 2009-2015 Vertex42 LLC. All Rights Reserved.</dc:description>
  <cp:lastModifiedBy>Dietrich, Jens</cp:lastModifiedBy>
  <cp:lastPrinted>2015-04-21T20:30:45Z</cp:lastPrinted>
  <dcterms:created xsi:type="dcterms:W3CDTF">2011-11-16T02:56:30Z</dcterms:created>
  <dcterms:modified xsi:type="dcterms:W3CDTF">2017-04-19T07:03:39Z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ersion">
    <vt:lpwstr>1.2.0</vt:lpwstr>
  </property>
  <property fmtid="{D5CDD505-2E9C-101B-9397-08002B2CF9AE}" pid="3" name="Copyright">
    <vt:lpwstr>2009-2015 Vertex42 LLC</vt:lpwstr>
  </property>
</Properties>
</file>